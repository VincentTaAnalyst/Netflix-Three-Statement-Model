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7"/>
  <workbookPr defaultThemeVersion="166925"/>
  <xr:revisionPtr revIDLastSave="0" documentId="8_{D6BEFA4F-3E91-4050-A570-F9AF5E199D4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come Statements 23-25" sheetId="2" r:id="rId1"/>
    <sheet name="Balance Sheet 24-25" sheetId="3" r:id="rId2"/>
    <sheet name="Cash Flow 23-25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6" i="4" l="1"/>
  <c r="B16" i="4"/>
  <c r="B12" i="4"/>
  <c r="C12" i="4"/>
  <c r="C7" i="4"/>
  <c r="B7" i="4"/>
  <c r="D18" i="3"/>
  <c r="C18" i="3"/>
  <c r="D16" i="3"/>
  <c r="C16" i="3"/>
  <c r="D14" i="3"/>
  <c r="C14" i="3"/>
  <c r="C10" i="3"/>
  <c r="D10" i="3"/>
  <c r="C8" i="2"/>
  <c r="C12" i="2" s="1"/>
  <c r="C15" i="2" s="1"/>
  <c r="D8" i="2"/>
  <c r="D12" i="2" s="1"/>
  <c r="D15" i="2" s="1"/>
  <c r="D17" i="2"/>
  <c r="C17" i="2"/>
  <c r="C19" i="2" s="1"/>
  <c r="B8" i="2"/>
  <c r="B12" i="2" s="1"/>
  <c r="B15" i="2" s="1"/>
  <c r="B17" i="2" s="1"/>
  <c r="B19" i="2" s="1"/>
  <c r="D19" i="2" l="1"/>
  <c r="D7" i="4"/>
  <c r="D12" i="4" s="1"/>
  <c r="D16" i="4" s="1"/>
</calcChain>
</file>

<file path=xl/sharedStrings.xml><?xml version="1.0" encoding="utf-8"?>
<sst xmlns="http://schemas.openxmlformats.org/spreadsheetml/2006/main" count="63" uniqueCount="52">
  <si>
    <t>NETFLIX, INC. (NASDAQ: NFLX)</t>
  </si>
  <si>
    <t>Three-Year Historical Income Statement Analysis</t>
  </si>
  <si>
    <t>($ in Millions, Fiscal Year Ended Dec 31)</t>
  </si>
  <si>
    <t>Line Item ($ in Millions)</t>
  </si>
  <si>
    <t>2023A</t>
  </si>
  <si>
    <t>2024A</t>
  </si>
  <si>
    <t>2025A</t>
  </si>
  <si>
    <t>Revenues</t>
  </si>
  <si>
    <t>Cost of Revenues</t>
  </si>
  <si>
    <t>Gross Profit</t>
  </si>
  <si>
    <t>Sales and marketing</t>
  </si>
  <si>
    <t>Technology and development</t>
  </si>
  <si>
    <t>General and administrative</t>
  </si>
  <si>
    <t>Operating Income</t>
  </si>
  <si>
    <t>Interest expense</t>
  </si>
  <si>
    <t>Interest and other income (expense)</t>
  </si>
  <si>
    <t>Income before income taxes</t>
  </si>
  <si>
    <t>Provision for income taxes</t>
  </si>
  <si>
    <t>Net Income</t>
  </si>
  <si>
    <t>Net Margin %</t>
  </si>
  <si>
    <t>Color Code Logic</t>
  </si>
  <si>
    <t>Blue Text: Hardcodes of Values extracted from SEC filings</t>
  </si>
  <si>
    <t>Black Text: Calculations of Subtotals, formulas, and ratios</t>
  </si>
  <si>
    <t xml:space="preserve">Two-Year Consolidated Balance Sheets </t>
  </si>
  <si>
    <t>Category</t>
  </si>
  <si>
    <t>Line Item</t>
  </si>
  <si>
    <t>ASSETS</t>
  </si>
  <si>
    <t>Total Current Assets</t>
  </si>
  <si>
    <t>Content assets, net</t>
  </si>
  <si>
    <t>Property and equipment, net</t>
  </si>
  <si>
    <t>Other non-current assets</t>
  </si>
  <si>
    <t>Total Assets</t>
  </si>
  <si>
    <t>LIABILITIES</t>
  </si>
  <si>
    <t>Total Current Liabilities</t>
  </si>
  <si>
    <t>Long-term debt</t>
  </si>
  <si>
    <t>Other non-current liabilities</t>
  </si>
  <si>
    <t>Total Liabilities</t>
  </si>
  <si>
    <t>EQUITY</t>
  </si>
  <si>
    <t>Total Stockholders' Equity</t>
  </si>
  <si>
    <t>CHECK</t>
  </si>
  <si>
    <t>Total Liability &amp; Equity</t>
  </si>
  <si>
    <t>Balance Check</t>
  </si>
  <si>
    <t>Three-Year Consolidated Cash Flow Statements</t>
  </si>
  <si>
    <t>Cash flows from operating activities:</t>
  </si>
  <si>
    <t>Adjustments to reconcile net income:</t>
  </si>
  <si>
    <t>Amortization of content assets</t>
  </si>
  <si>
    <t>Additions to content assets</t>
  </si>
  <si>
    <t>Other operating adjustments</t>
  </si>
  <si>
    <t>Net cash provided by operating activities</t>
  </si>
  <si>
    <t>Cash flows from investing activities:</t>
  </si>
  <si>
    <t>Purchases of property and equipment (CapEx)</t>
  </si>
  <si>
    <t>FREE CASH FLOW (FCF)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</si>
</sst>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4"/>
      <color theme="4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rgb="FF000000"/>
      <name val="Calibri"/>
    </font>
    <font>
      <sz val="10"/>
      <color rgb="FF242424"/>
      <name val="Calibri"/>
    </font>
    <font>
      <i/>
      <sz val="11"/>
      <color theme="1"/>
      <name val="Calibri"/>
    </font>
    <font>
      <b/>
      <sz val="10"/>
      <color rgb="FF0070C0"/>
      <name val="Calibri"/>
    </font>
    <font>
      <sz val="11"/>
      <color rgb="FF0070C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3" fontId="0" fillId="0" borderId="0" xfId="0" applyNumberFormat="1"/>
    <xf numFmtId="0" fontId="3" fillId="0" borderId="0" xfId="0" applyFont="1"/>
    <xf numFmtId="37" fontId="0" fillId="0" borderId="2" xfId="0" applyNumberFormat="1" applyBorder="1"/>
    <xf numFmtId="0" fontId="0" fillId="0" borderId="0" xfId="0" applyAlignment="1">
      <alignment horizontal="left" wrapText="1" indent="3"/>
    </xf>
    <xf numFmtId="0" fontId="0" fillId="0" borderId="0" xfId="0" applyAlignment="1">
      <alignment horizontal="left" indent="2"/>
    </xf>
    <xf numFmtId="37" fontId="4" fillId="0" borderId="0" xfId="0" applyNumberFormat="1" applyFont="1"/>
    <xf numFmtId="0" fontId="4" fillId="0" borderId="0" xfId="0" applyFont="1" applyAlignment="1">
      <alignment horizontal="left" indent="2"/>
    </xf>
    <xf numFmtId="0" fontId="5" fillId="0" borderId="0" xfId="0" applyFont="1"/>
    <xf numFmtId="0" fontId="6" fillId="0" borderId="0" xfId="0" applyFont="1"/>
    <xf numFmtId="0" fontId="0" fillId="0" borderId="3" xfId="0" applyBorder="1"/>
    <xf numFmtId="2" fontId="0" fillId="0" borderId="0" xfId="0" applyNumberFormat="1" applyAlignment="1">
      <alignment horizontal="right"/>
    </xf>
    <xf numFmtId="0" fontId="0" fillId="0" borderId="0" xfId="0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0" fillId="0" borderId="4" xfId="0" applyBorder="1"/>
    <xf numFmtId="0" fontId="0" fillId="0" borderId="0" xfId="0" applyBorder="1" applyAlignment="1">
      <alignment horizontal="left" wrapText="1"/>
    </xf>
    <xf numFmtId="0" fontId="0" fillId="0" borderId="0" xfId="0" applyBorder="1"/>
    <xf numFmtId="37" fontId="0" fillId="0" borderId="1" xfId="0" applyNumberFormat="1" applyBorder="1" applyAlignment="1">
      <alignment horizontal="right"/>
    </xf>
    <xf numFmtId="37" fontId="4" fillId="0" borderId="0" xfId="0" applyNumberFormat="1" applyFont="1" applyAlignment="1">
      <alignment horizontal="right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9" fillId="0" borderId="0" xfId="0" applyFont="1" applyBorder="1" applyAlignment="1">
      <alignment horizontal="center"/>
    </xf>
    <xf numFmtId="0" fontId="8" fillId="0" borderId="0" xfId="0" applyFont="1" applyAlignment="1">
      <alignment horizontal="center" wrapText="1"/>
    </xf>
    <xf numFmtId="164" fontId="0" fillId="0" borderId="0" xfId="0" applyNumberFormat="1" applyAlignment="1">
      <alignment horizontal="right"/>
    </xf>
    <xf numFmtId="0" fontId="10" fillId="0" borderId="0" xfId="0" applyFont="1" applyAlignment="1">
      <alignment wrapText="1"/>
    </xf>
    <xf numFmtId="0" fontId="7" fillId="0" borderId="0" xfId="0" applyFont="1" applyBorder="1" applyAlignment="1">
      <alignment horizontal="center" wrapText="1"/>
    </xf>
    <xf numFmtId="0" fontId="2" fillId="0" borderId="0" xfId="0" applyFont="1" applyBorder="1"/>
    <xf numFmtId="0" fontId="11" fillId="0" borderId="0" xfId="0" applyFont="1" applyBorder="1"/>
    <xf numFmtId="3" fontId="11" fillId="0" borderId="0" xfId="0" applyNumberFormat="1" applyFont="1" applyBorder="1"/>
    <xf numFmtId="3" fontId="2" fillId="0" borderId="1" xfId="0" applyNumberFormat="1" applyFont="1" applyBorder="1"/>
    <xf numFmtId="0" fontId="2" fillId="0" borderId="2" xfId="0" applyFont="1" applyBorder="1"/>
    <xf numFmtId="3" fontId="2" fillId="0" borderId="2" xfId="0" applyNumberFormat="1" applyFont="1" applyBorder="1"/>
    <xf numFmtId="0" fontId="12" fillId="0" borderId="0" xfId="0" applyFont="1" applyBorder="1"/>
    <xf numFmtId="0" fontId="13" fillId="0" borderId="0" xfId="0" applyFont="1" applyBorder="1"/>
    <xf numFmtId="0" fontId="13" fillId="0" borderId="1" xfId="0" applyFont="1" applyBorder="1"/>
    <xf numFmtId="0" fontId="12" fillId="0" borderId="1" xfId="0" applyFont="1" applyBorder="1"/>
    <xf numFmtId="0" fontId="12" fillId="0" borderId="0" xfId="0" applyFont="1" applyBorder="1" applyAlignment="1">
      <alignment wrapText="1"/>
    </xf>
    <xf numFmtId="0" fontId="13" fillId="0" borderId="0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" fillId="0" borderId="0" xfId="0" applyFont="1" applyBorder="1"/>
    <xf numFmtId="3" fontId="1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7837C-1CC3-4EE7-B94B-957E14AB4086}">
  <dimension ref="A1:I25"/>
  <sheetViews>
    <sheetView showGridLines="0" tabSelected="1" workbookViewId="0">
      <selection activeCell="D19" sqref="D19"/>
    </sheetView>
  </sheetViews>
  <sheetFormatPr defaultRowHeight="15"/>
  <cols>
    <col min="1" max="1" width="47.7109375" customWidth="1"/>
    <col min="2" max="2" width="9.28515625" customWidth="1"/>
    <col min="3" max="3" width="10.140625" customWidth="1"/>
    <col min="4" max="4" width="10.42578125" customWidth="1"/>
  </cols>
  <sheetData>
    <row r="1" spans="1:9" ht="18.75">
      <c r="A1" s="8" t="s">
        <v>0</v>
      </c>
    </row>
    <row r="2" spans="1:9">
      <c r="A2" s="9" t="s">
        <v>1</v>
      </c>
    </row>
    <row r="3" spans="1:9">
      <c r="A3" s="9" t="s">
        <v>2</v>
      </c>
    </row>
    <row r="4" spans="1:9">
      <c r="A4" s="10"/>
      <c r="B4" s="10"/>
      <c r="C4" s="10"/>
      <c r="D4" s="10"/>
    </row>
    <row r="5" spans="1:9">
      <c r="A5" s="17" t="s">
        <v>3</v>
      </c>
      <c r="B5" s="11" t="s">
        <v>4</v>
      </c>
      <c r="C5" s="11" t="s">
        <v>5</v>
      </c>
      <c r="D5" s="11" t="s">
        <v>6</v>
      </c>
    </row>
    <row r="6" spans="1:9">
      <c r="A6" s="12" t="s">
        <v>7</v>
      </c>
      <c r="B6" s="6">
        <v>33723</v>
      </c>
      <c r="C6" s="6">
        <v>39001</v>
      </c>
      <c r="D6" s="6">
        <v>45183</v>
      </c>
      <c r="I6" s="18"/>
    </row>
    <row r="7" spans="1:9" s="5" customFormat="1">
      <c r="A7" s="4" t="s">
        <v>8</v>
      </c>
      <c r="B7" s="20">
        <v>-19715</v>
      </c>
      <c r="C7" s="20">
        <v>-21038</v>
      </c>
      <c r="D7" s="20">
        <v>-23275</v>
      </c>
    </row>
    <row r="8" spans="1:9">
      <c r="A8" s="13" t="s">
        <v>9</v>
      </c>
      <c r="B8" s="19">
        <f>SUM(B6:B7)</f>
        <v>14008</v>
      </c>
      <c r="C8" s="19">
        <f t="shared" ref="C8:D8" si="0">SUM(C6:C7)</f>
        <v>17963</v>
      </c>
      <c r="D8" s="19">
        <f t="shared" si="0"/>
        <v>21908</v>
      </c>
    </row>
    <row r="9" spans="1:9" s="5" customFormat="1">
      <c r="A9" s="4" t="s">
        <v>10</v>
      </c>
      <c r="B9" s="20">
        <v>-2658</v>
      </c>
      <c r="C9" s="20">
        <v>-2918</v>
      </c>
      <c r="D9" s="20">
        <v>-3301</v>
      </c>
      <c r="I9" s="7"/>
    </row>
    <row r="10" spans="1:9" s="5" customFormat="1">
      <c r="A10" s="4" t="s">
        <v>11</v>
      </c>
      <c r="B10" s="20">
        <v>-2676</v>
      </c>
      <c r="C10" s="20">
        <v>-2925</v>
      </c>
      <c r="D10" s="20">
        <v>-3391</v>
      </c>
    </row>
    <row r="11" spans="1:9" s="5" customFormat="1">
      <c r="A11" s="4" t="s">
        <v>12</v>
      </c>
      <c r="B11" s="20">
        <v>-1720</v>
      </c>
      <c r="C11" s="20">
        <v>-1702</v>
      </c>
      <c r="D11" s="20">
        <v>-1888</v>
      </c>
    </row>
    <row r="12" spans="1:9">
      <c r="A12" s="13" t="s">
        <v>13</v>
      </c>
      <c r="B12" s="19">
        <f>B8+SUM(B9:B11)</f>
        <v>6954</v>
      </c>
      <c r="C12" s="19">
        <f t="shared" ref="C12" si="1">C8+SUM(C9:C11)</f>
        <v>10418</v>
      </c>
      <c r="D12" s="19">
        <f>D8+SUM(D9:D11)</f>
        <v>13328</v>
      </c>
    </row>
    <row r="13" spans="1:9" s="5" customFormat="1">
      <c r="A13" s="4" t="s">
        <v>14</v>
      </c>
      <c r="B13" s="20">
        <v>-700</v>
      </c>
      <c r="C13" s="20">
        <v>-719</v>
      </c>
      <c r="D13" s="20">
        <v>-777</v>
      </c>
    </row>
    <row r="14" spans="1:9" s="5" customFormat="1">
      <c r="A14" s="4" t="s">
        <v>15</v>
      </c>
      <c r="B14" s="20">
        <v>-49</v>
      </c>
      <c r="C14" s="20">
        <v>267</v>
      </c>
      <c r="D14" s="20">
        <v>172</v>
      </c>
    </row>
    <row r="15" spans="1:9">
      <c r="A15" s="14" t="s">
        <v>16</v>
      </c>
      <c r="B15" s="19">
        <f>B12+SUM(B13:B14)</f>
        <v>6205</v>
      </c>
      <c r="C15" s="19">
        <f t="shared" ref="C15:D15" si="2">C12+SUM(C13:C14)</f>
        <v>9966</v>
      </c>
      <c r="D15" s="19">
        <f t="shared" si="2"/>
        <v>12723</v>
      </c>
    </row>
    <row r="16" spans="1:9" s="5" customFormat="1">
      <c r="A16" s="4" t="s">
        <v>17</v>
      </c>
      <c r="B16" s="20">
        <v>-797</v>
      </c>
      <c r="C16" s="20">
        <v>-1254</v>
      </c>
      <c r="D16" s="20">
        <v>-1741</v>
      </c>
    </row>
    <row r="17" spans="1:4">
      <c r="A17" s="15" t="s">
        <v>18</v>
      </c>
      <c r="B17" s="3">
        <f>SUM(B15:B16)</f>
        <v>5408</v>
      </c>
      <c r="C17" s="3">
        <f t="shared" ref="C17:D17" si="3">SUM(C15:C16)</f>
        <v>8712</v>
      </c>
      <c r="D17" s="3">
        <f t="shared" si="3"/>
        <v>10982</v>
      </c>
    </row>
    <row r="19" spans="1:4">
      <c r="A19" s="2" t="s">
        <v>19</v>
      </c>
      <c r="B19" s="25">
        <f>B17/B6</f>
        <v>0.16036532930047742</v>
      </c>
      <c r="C19" s="25">
        <f>C17/C6</f>
        <v>0.22337888772082767</v>
      </c>
      <c r="D19" s="25">
        <f>D17/D6</f>
        <v>0.24305601664342782</v>
      </c>
    </row>
    <row r="20" spans="1:4">
      <c r="A20" s="18"/>
      <c r="B20" s="18"/>
      <c r="C20" s="18"/>
      <c r="D20" s="18"/>
    </row>
    <row r="21" spans="1:4">
      <c r="A21" s="16"/>
      <c r="B21" s="18"/>
      <c r="C21" s="18"/>
      <c r="D21" s="18"/>
    </row>
    <row r="22" spans="1:4">
      <c r="A22" s="23" t="s">
        <v>20</v>
      </c>
      <c r="B22" s="23"/>
      <c r="C22" s="27"/>
      <c r="D22" s="23"/>
    </row>
    <row r="23" spans="1:4" ht="13.5" customHeight="1">
      <c r="A23" s="26" t="s">
        <v>21</v>
      </c>
      <c r="B23" s="26"/>
      <c r="C23" s="26"/>
      <c r="D23" s="22"/>
    </row>
    <row r="24" spans="1:4" ht="15.75" customHeight="1">
      <c r="A24" s="21" t="s">
        <v>22</v>
      </c>
      <c r="B24" s="21"/>
      <c r="C24" s="21"/>
      <c r="D24" s="24"/>
    </row>
    <row r="25" spans="1:4">
      <c r="A25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4FEAD-FF16-4988-ACF4-8609351D1DF4}">
  <dimension ref="A1:D18"/>
  <sheetViews>
    <sheetView showGridLines="0" workbookViewId="0">
      <selection activeCell="F21" sqref="F21"/>
    </sheetView>
  </sheetViews>
  <sheetFormatPr defaultRowHeight="15"/>
  <cols>
    <col min="1" max="1" width="35" bestFit="1" customWidth="1"/>
    <col min="2" max="2" width="30" customWidth="1"/>
  </cols>
  <sheetData>
    <row r="1" spans="1:4" ht="18.75">
      <c r="A1" s="8" t="s">
        <v>0</v>
      </c>
    </row>
    <row r="2" spans="1:4">
      <c r="A2" s="9" t="s">
        <v>23</v>
      </c>
    </row>
    <row r="3" spans="1:4">
      <c r="A3" s="9" t="s">
        <v>2</v>
      </c>
    </row>
    <row r="5" spans="1:4">
      <c r="A5" s="42" t="s">
        <v>24</v>
      </c>
      <c r="B5" s="42" t="s">
        <v>25</v>
      </c>
      <c r="C5" s="42" t="s">
        <v>5</v>
      </c>
      <c r="D5" s="42" t="s">
        <v>6</v>
      </c>
    </row>
    <row r="6" spans="1:4">
      <c r="A6" s="34" t="s">
        <v>26</v>
      </c>
      <c r="B6" s="35" t="s">
        <v>27</v>
      </c>
      <c r="C6" s="30">
        <v>13100</v>
      </c>
      <c r="D6" s="30">
        <v>13020</v>
      </c>
    </row>
    <row r="7" spans="1:4">
      <c r="A7" s="35"/>
      <c r="B7" s="35" t="s">
        <v>28</v>
      </c>
      <c r="C7" s="30">
        <v>32452</v>
      </c>
      <c r="D7" s="30">
        <v>32778</v>
      </c>
    </row>
    <row r="8" spans="1:4">
      <c r="A8" s="35"/>
      <c r="B8" s="35" t="s">
        <v>29</v>
      </c>
      <c r="C8" s="30">
        <v>1594</v>
      </c>
      <c r="D8" s="30">
        <v>2004</v>
      </c>
    </row>
    <row r="9" spans="1:4">
      <c r="A9" s="35"/>
      <c r="B9" s="35" t="s">
        <v>30</v>
      </c>
      <c r="C9" s="30">
        <v>6484</v>
      </c>
      <c r="D9" s="30">
        <v>7794</v>
      </c>
    </row>
    <row r="10" spans="1:4">
      <c r="A10" s="36"/>
      <c r="B10" s="37" t="s">
        <v>31</v>
      </c>
      <c r="C10" s="31">
        <f>SUM(C6:C9)</f>
        <v>53630</v>
      </c>
      <c r="D10" s="31">
        <f>SUM(D6:D9)</f>
        <v>55596</v>
      </c>
    </row>
    <row r="11" spans="1:4">
      <c r="A11" s="34" t="s">
        <v>32</v>
      </c>
      <c r="B11" s="35" t="s">
        <v>33</v>
      </c>
      <c r="C11" s="30">
        <v>10755</v>
      </c>
      <c r="D11" s="30">
        <v>10981</v>
      </c>
    </row>
    <row r="12" spans="1:4">
      <c r="A12" s="35"/>
      <c r="B12" s="35" t="s">
        <v>34</v>
      </c>
      <c r="C12" s="30">
        <v>13798</v>
      </c>
      <c r="D12" s="30">
        <v>13464</v>
      </c>
    </row>
    <row r="13" spans="1:4">
      <c r="A13" s="35"/>
      <c r="B13" s="35" t="s">
        <v>35</v>
      </c>
      <c r="C13" s="30">
        <v>4333</v>
      </c>
      <c r="D13" s="30">
        <v>4536</v>
      </c>
    </row>
    <row r="14" spans="1:4">
      <c r="A14" s="36"/>
      <c r="B14" s="37" t="s">
        <v>36</v>
      </c>
      <c r="C14" s="31">
        <f>SUM(C11:C13)</f>
        <v>28886</v>
      </c>
      <c r="D14" s="31">
        <f>SUM(D11:D13)</f>
        <v>28981</v>
      </c>
    </row>
    <row r="15" spans="1:4">
      <c r="A15" s="34" t="s">
        <v>37</v>
      </c>
      <c r="B15" s="35" t="s">
        <v>38</v>
      </c>
      <c r="C15" s="30">
        <v>24744</v>
      </c>
      <c r="D15" s="30">
        <v>26615</v>
      </c>
    </row>
    <row r="16" spans="1:4">
      <c r="A16" s="32" t="s">
        <v>39</v>
      </c>
      <c r="B16" s="32" t="s">
        <v>40</v>
      </c>
      <c r="C16" s="33">
        <f>C14+C15</f>
        <v>53630</v>
      </c>
      <c r="D16" s="33">
        <f>D14+D15</f>
        <v>55596</v>
      </c>
    </row>
    <row r="18" spans="1:4">
      <c r="A18" t="s">
        <v>41</v>
      </c>
      <c r="C18" s="1">
        <f>C10-C16</f>
        <v>0</v>
      </c>
      <c r="D18" s="1">
        <f>D10-D16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56FE5-8CBE-4015-8561-3434100C27E2}">
  <dimension ref="A1:D16"/>
  <sheetViews>
    <sheetView showGridLines="0" workbookViewId="0">
      <selection activeCell="G22" sqref="G22"/>
    </sheetView>
  </sheetViews>
  <sheetFormatPr defaultRowHeight="15"/>
  <cols>
    <col min="1" max="1" width="36.5703125" bestFit="1" customWidth="1"/>
  </cols>
  <sheetData>
    <row r="1" spans="1:4" ht="18.75">
      <c r="A1" s="8" t="s">
        <v>0</v>
      </c>
    </row>
    <row r="2" spans="1:4">
      <c r="A2" s="9" t="s">
        <v>42</v>
      </c>
    </row>
    <row r="3" spans="1:4">
      <c r="A3" s="9" t="s">
        <v>2</v>
      </c>
    </row>
    <row r="5" spans="1:4">
      <c r="A5" s="38" t="s">
        <v>25</v>
      </c>
      <c r="B5" s="28" t="s">
        <v>4</v>
      </c>
      <c r="C5" s="28" t="s">
        <v>5</v>
      </c>
      <c r="D5" s="28" t="s">
        <v>6</v>
      </c>
    </row>
    <row r="6" spans="1:4">
      <c r="A6" s="38" t="s">
        <v>43</v>
      </c>
      <c r="B6" s="42"/>
      <c r="C6" s="42"/>
      <c r="D6" s="42"/>
    </row>
    <row r="7" spans="1:4">
      <c r="A7" s="39" t="s">
        <v>18</v>
      </c>
      <c r="B7" s="43">
        <f>'Income Statements 23-25'!B17</f>
        <v>5408</v>
      </c>
      <c r="C7" s="43">
        <f>'Income Statements 23-25'!C17</f>
        <v>8712</v>
      </c>
      <c r="D7" s="43">
        <f>'Income Statements 23-25'!D17</f>
        <v>10982</v>
      </c>
    </row>
    <row r="8" spans="1:4">
      <c r="A8" s="39" t="s">
        <v>44</v>
      </c>
      <c r="B8" s="42"/>
      <c r="C8" s="42"/>
      <c r="D8" s="42"/>
    </row>
    <row r="9" spans="1:4">
      <c r="A9" s="39" t="s">
        <v>45</v>
      </c>
      <c r="B9" s="30">
        <v>14197</v>
      </c>
      <c r="C9" s="30">
        <v>15302</v>
      </c>
      <c r="D9" s="30">
        <v>16422</v>
      </c>
    </row>
    <row r="10" spans="1:4">
      <c r="A10" s="39" t="s">
        <v>46</v>
      </c>
      <c r="B10" s="30">
        <v>-12555</v>
      </c>
      <c r="C10" s="30">
        <v>-16224</v>
      </c>
      <c r="D10" s="30">
        <v>-17097</v>
      </c>
    </row>
    <row r="11" spans="1:4">
      <c r="A11" s="39" t="s">
        <v>47</v>
      </c>
      <c r="B11" s="30">
        <v>1224</v>
      </c>
      <c r="C11" s="29">
        <v>-428</v>
      </c>
      <c r="D11" s="29">
        <v>-158</v>
      </c>
    </row>
    <row r="12" spans="1:4" ht="30.75">
      <c r="A12" s="40" t="s">
        <v>48</v>
      </c>
      <c r="B12" s="31">
        <f>SUM(B7:B11)</f>
        <v>8274</v>
      </c>
      <c r="C12" s="31">
        <f>SUM(C7:C11)</f>
        <v>7362</v>
      </c>
      <c r="D12" s="31">
        <f>SUM(D7:D11)</f>
        <v>10149</v>
      </c>
    </row>
    <row r="13" spans="1:4">
      <c r="A13" s="39"/>
      <c r="B13" s="42"/>
      <c r="C13" s="42"/>
      <c r="D13" s="42"/>
    </row>
    <row r="14" spans="1:4">
      <c r="A14" s="38" t="s">
        <v>49</v>
      </c>
      <c r="B14" s="42"/>
      <c r="C14" s="42"/>
      <c r="D14" s="42"/>
    </row>
    <row r="15" spans="1:4" ht="30.75">
      <c r="A15" s="39" t="s">
        <v>50</v>
      </c>
      <c r="B15" s="29">
        <v>-349</v>
      </c>
      <c r="C15" s="29">
        <v>-440</v>
      </c>
      <c r="D15" s="29">
        <v>-688</v>
      </c>
    </row>
    <row r="16" spans="1:4">
      <c r="A16" s="41" t="s">
        <v>51</v>
      </c>
      <c r="B16" s="33">
        <f>B12+B15</f>
        <v>7925</v>
      </c>
      <c r="C16" s="33">
        <f>C12+C15</f>
        <v>6922</v>
      </c>
      <c r="D16" s="33">
        <f>D12+D15</f>
        <v>9461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2026-05-04T05:01:11Z</dcterms:created>
  <dcterms:modified xsi:type="dcterms:W3CDTF">2026-05-06T06:06:31Z</dcterms:modified>
  <cp:category/>
  <cp:contentStatus/>
</cp:coreProperties>
</file>